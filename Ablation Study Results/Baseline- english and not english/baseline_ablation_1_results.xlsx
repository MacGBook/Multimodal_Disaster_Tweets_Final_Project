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deleine/Desktop/Ablation Study Results/Baseline- english and not english/"/>
    </mc:Choice>
  </mc:AlternateContent>
  <xr:revisionPtr revIDLastSave="0" documentId="13_ncr:1_{1503EB11-1C75-AD4B-B623-6BF7E1540EA2}" xr6:coauthVersionLast="47" xr6:coauthVersionMax="47" xr10:uidLastSave="{00000000-0000-0000-0000-000000000000}"/>
  <bookViews>
    <workbookView xWindow="17560" yWindow="1280" windowWidth="28800" windowHeight="18000" xr2:uid="{5D3A8A1C-4D42-0242-8FAC-CF4D95284D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3" i="1" l="1"/>
  <c r="R23" i="1"/>
  <c r="S23" i="1"/>
  <c r="O23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" i="1"/>
  <c r="P2" i="1"/>
  <c r="O21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2" i="1"/>
  <c r="R2" i="1"/>
  <c r="O2" i="1"/>
</calcChain>
</file>

<file path=xl/sharedStrings.xml><?xml version="1.0" encoding="utf-8"?>
<sst xmlns="http://schemas.openxmlformats.org/spreadsheetml/2006/main" count="156" uniqueCount="73">
  <si>
    <t>Text</t>
  </si>
  <si>
    <t>Real Lat</t>
  </si>
  <si>
    <t>Real Lon</t>
  </si>
  <si>
    <t>country</t>
  </si>
  <si>
    <t>continent</t>
  </si>
  <si>
    <t>"Birmingham Wholesale Market is ablaze BBC News - Fire breaks out at Birmingham's Wholesale Market http://t.co/irWqCEZWEU"</t>
  </si>
  <si>
    <t>"Accident cleared in #PaTurnpike on PATP EB between PA-18 and Cranberry slow back to #traffic http://t.co/SL0Oqn0Vyr"</t>
  </si>
  <si>
    <t>"Coincidence Or #Curse? Still #Unresolved Secrets From Past http://t.co/7VG8Df9pLE #accident"</t>
  </si>
  <si>
    <t>"There's a construction guy working on the Disney store and he has huge gauges in his ears ?? ...that is a bloody accident waiting to happen"</t>
  </si>
  <si>
    <t>"FedEx no longer to transport bioterror germs in wake of anthrax lab mishaps http://t.co/1CsEBhPLfh via @usatoday"</t>
  </si>
  <si>
    <t>"@pukesmoothie I don't understand WHY he would put us in that danger."</t>
  </si>
  <si>
    <t>"@Miss_Instiinctz or mostly around lava too"</t>
  </si>
  <si>
    <t>"4 dead dozens injured in Gaza blast near house leveled in summer war - Washington Post: New York Times4 dead... http://t.co/7C2qhMwtv5"</t>
  </si>
  <si>
    <t>"RICHIE: This was #Calgary yesterday after a crazy #hailstorm! pics via Calgary Herald http://t.co/1oH20qHk2l"</t>
  </si>
  <si>
    <t>"Severe Thunderstorm 7 Miles North of Arcadia Moving SE At 20 MPH. 60 MPH Wind Gusts and Large Hail. Hail... #okwx http://t.co/WEd69e4KRg"</t>
  </si>
  <si>
    <t>"#Children traumatised after the Nepal earthquake are educated on coping mechanisms. http://t.co/UbwDBydK1a"</t>
  </si>
  <si>
    <t>"#yyc #hailstorm #christmas came early https://t.co/f0A2IIzx3A"</t>
  </si>
  <si>
    <t>"On 70th anniversary of #Hiroshima bomb it is important to learn from history and ban this weapon."</t>
  </si>
  <si>
    <t>"@wral there are now 5 fire trucks and 2 ambulances at Wellington ridge lp in Cary. one of the units is on fire. not sure on injuries"</t>
  </si>
  <si>
    <t>"Plane debris is from #MH370 - it was a controlled crash. In other words it was mass murder by a musim http://t.co/J3xFDg9CWF @newscomauHQ"</t>
  </si>
  <si>
    <t>"Police continue to investigate fatal shooting on Vermont &amp;amp; 14th Street http://t.co/daACJ5Hfmq"</t>
  </si>
  <si>
    <t>"Ukraine famine memorial in progress since 2006 goes up in Washington: http://t.co/Td7VIEoODi"</t>
  </si>
  <si>
    <t>"@gtiso Fair enough. Change always has unfortunate casualties. I like that @NzMorningReport utilises both Welly &amp;amp; Aucklnd. We'll see."</t>
  </si>
  <si>
    <t>"Abe proposed a new plan for abolishing nuclear weapons. Yesterday his defense minister made clear nukes are fine. http://t.co/A6IR8rKuwS"</t>
  </si>
  <si>
    <t>#Nepal Magnitude 4.3 tremor rattles #Dolakha as #aftershock counts 367 | Recent Natural Disasters : http://t.co/Re1d5ffcSx</t>
  </si>
  <si>
    <t>More Severe Weather Heads Toward Chicago Area: A brief violent storm swept through the Chicago area Sunday af... http://t.co/JWSLLsuKjg</t>
  </si>
  <si>
    <t>England</t>
  </si>
  <si>
    <t>Europe</t>
  </si>
  <si>
    <t>USA</t>
  </si>
  <si>
    <t>NA</t>
  </si>
  <si>
    <t>South Africa</t>
  </si>
  <si>
    <t>Africa</t>
  </si>
  <si>
    <t>Canada</t>
  </si>
  <si>
    <t>Australia</t>
  </si>
  <si>
    <t>India</t>
  </si>
  <si>
    <t>Asia</t>
  </si>
  <si>
    <t>Japan</t>
  </si>
  <si>
    <t>Nepal</t>
  </si>
  <si>
    <t>England- Birmingham</t>
  </si>
  <si>
    <t>English Channel</t>
  </si>
  <si>
    <t>USA- PA</t>
  </si>
  <si>
    <t>Atlantic Ocean</t>
  </si>
  <si>
    <t>None</t>
  </si>
  <si>
    <t>USA- Orlando, FL</t>
  </si>
  <si>
    <t>USA- FL</t>
  </si>
  <si>
    <t>USA- TX</t>
  </si>
  <si>
    <t>North Atlantic Ocean</t>
  </si>
  <si>
    <t>China, Tibet</t>
  </si>
  <si>
    <t>USA, GA</t>
  </si>
  <si>
    <t>USA, NY</t>
  </si>
  <si>
    <t>Canada, Calgary</t>
  </si>
  <si>
    <t>USA, Colorado</t>
  </si>
  <si>
    <t>KS, USA</t>
  </si>
  <si>
    <t>USA, PA</t>
  </si>
  <si>
    <t>NY, USA</t>
  </si>
  <si>
    <t xml:space="preserve">China </t>
  </si>
  <si>
    <t>Indian Ocean, Malaysia</t>
  </si>
  <si>
    <t>USA, VT</t>
  </si>
  <si>
    <t>NY USA</t>
  </si>
  <si>
    <t>USA, WA</t>
  </si>
  <si>
    <t>WA USA</t>
  </si>
  <si>
    <t>Congo</t>
  </si>
  <si>
    <t>South Atlantic Ocean</t>
  </si>
  <si>
    <t>USA, IN</t>
  </si>
  <si>
    <t>IN, USA</t>
  </si>
  <si>
    <t>USA, IL</t>
  </si>
  <si>
    <t>USA, IL, Chicago</t>
  </si>
  <si>
    <t>lon</t>
  </si>
  <si>
    <t>lat</t>
  </si>
  <si>
    <t>lat error</t>
  </si>
  <si>
    <t>lon error</t>
  </si>
  <si>
    <t>lat error 2</t>
  </si>
  <si>
    <t>lon error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</si>
</sst>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Aptos Narrow"/>
      <family val="2"/>
      <scheme val="minor"/>
    </font>
    <font>
      <sz val="12"/>
      <color rgb="FF2AA198"/>
      <name val="Menlo"/>
      <family val="2"/>
    </font>
    <font>
      <sz val="12"/>
      <color rgb="FF000000"/>
      <name val="Aptos Narrow"/>
      <family val="2"/>
      <scheme val="minor"/>
    </font>
    <font>
      <sz val="12"/>
      <color rgb="FF000000"/>
      <name val="Aptos Narrow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sz val="11"/>
      <color rgb="FF000000"/>
      <name val="Menlo"/>
      <family val="2"/>
    </font>
    <font>
      <sz val="13"/>
      <color theme="1"/>
      <name val="Helvetica Neue"/>
      <family val="2"/>
    </font>
    <font>
      <sz val="12"/>
      <color theme="1"/>
      <name val=".AppleSystemUIFontMonospaced"/>
    </font>
  </fonts>
  <fills count="5">
    <fill>
      <patternFill patternType="none"/>
    </fill>
    <fill>
      <patternFill patternType="gray125"/>
    </fill>
    <fill>
      <patternFill patternType="solid">
        <fgColor rgb="FFDAE9F7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4" fillId="0" borderId="0" xfId="0" applyFont="1"/>
    <xf numFmtId="0" fontId="3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wrapText="1"/>
    </xf>
    <xf numFmtId="0" fontId="8" fillId="0" borderId="0" xfId="0" applyFont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09045-56A9-BD41-9048-768A8AD6D404}">
  <dimension ref="A1:S23"/>
  <sheetViews>
    <sheetView tabSelected="1" topLeftCell="A15" zoomScale="75" workbookViewId="0">
      <selection activeCell="D1" sqref="D1:E1048576"/>
    </sheetView>
  </sheetViews>
  <sheetFormatPr baseColWidth="10" defaultRowHeight="16"/>
  <sheetData>
    <row r="1" spans="1:19" ht="17" thickBo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68</v>
      </c>
      <c r="G1" t="s">
        <v>67</v>
      </c>
      <c r="H1" t="s">
        <v>3</v>
      </c>
      <c r="I1" t="s">
        <v>4</v>
      </c>
      <c r="J1" t="s">
        <v>68</v>
      </c>
      <c r="K1" t="s">
        <v>67</v>
      </c>
      <c r="L1" t="s">
        <v>3</v>
      </c>
      <c r="M1" t="s">
        <v>4</v>
      </c>
      <c r="O1" t="s">
        <v>69</v>
      </c>
      <c r="P1" t="s">
        <v>70</v>
      </c>
      <c r="R1" t="s">
        <v>71</v>
      </c>
      <c r="S1" t="s">
        <v>72</v>
      </c>
    </row>
    <row r="2" spans="1:19" ht="17" thickBot="1">
      <c r="A2" s="1" t="s">
        <v>5</v>
      </c>
      <c r="B2" s="3">
        <v>51.507399999999997</v>
      </c>
      <c r="C2" s="4">
        <v>-0.12770000000000001</v>
      </c>
      <c r="D2" t="s">
        <v>26</v>
      </c>
      <c r="E2" t="s">
        <v>27</v>
      </c>
      <c r="F2" s="9">
        <v>52.4778022766113</v>
      </c>
      <c r="G2" s="9">
        <v>-1.74</v>
      </c>
      <c r="H2" s="13" t="s">
        <v>38</v>
      </c>
      <c r="I2" s="13" t="s">
        <v>27</v>
      </c>
      <c r="J2" s="9">
        <v>49.594547271728501</v>
      </c>
      <c r="K2" s="9">
        <v>-3.56</v>
      </c>
      <c r="L2" s="13" t="s">
        <v>39</v>
      </c>
      <c r="M2" s="13" t="s">
        <v>27</v>
      </c>
      <c r="O2">
        <f>ABS(B2-F2)</f>
        <v>0.97040227661130274</v>
      </c>
      <c r="P2">
        <f>ABS(C2-G2)</f>
        <v>1.6123000000000001</v>
      </c>
      <c r="R2">
        <f>ABS(B2-J2)</f>
        <v>1.9128527282714956</v>
      </c>
      <c r="S2">
        <f>ABS(C2-K2)</f>
        <v>3.4323000000000001</v>
      </c>
    </row>
    <row r="3" spans="1:19" ht="17" thickBot="1">
      <c r="A3" s="1" t="s">
        <v>6</v>
      </c>
      <c r="B3" s="3">
        <v>40.458599999999997</v>
      </c>
      <c r="C3" s="4">
        <v>-79.889899999999997</v>
      </c>
      <c r="D3" s="5" t="s">
        <v>28</v>
      </c>
      <c r="E3" s="5" t="s">
        <v>29</v>
      </c>
      <c r="F3" s="9">
        <v>41.081661224365199</v>
      </c>
      <c r="G3" s="9">
        <v>-75.270004272460895</v>
      </c>
      <c r="H3" s="13" t="s">
        <v>40</v>
      </c>
      <c r="I3" s="13" t="s">
        <v>29</v>
      </c>
      <c r="J3" s="9">
        <v>41.3635864257812</v>
      </c>
      <c r="K3" s="9">
        <v>-74.847694396972599</v>
      </c>
      <c r="L3" s="13" t="s">
        <v>40</v>
      </c>
      <c r="M3" s="13" t="s">
        <v>29</v>
      </c>
      <c r="O3">
        <f t="shared" ref="O3:O22" si="0">ABS(B3-F3)</f>
        <v>0.62306122436520184</v>
      </c>
      <c r="P3">
        <f t="shared" ref="P3:P22" si="1">ABS(C3-G3)</f>
        <v>4.6198957275391024</v>
      </c>
      <c r="R3">
        <f t="shared" ref="R3:R22" si="2">ABS(B3-J3)</f>
        <v>0.90498642578120325</v>
      </c>
      <c r="S3">
        <f t="shared" ref="S3:S22" si="3">ABS(C3-K3)</f>
        <v>5.0422056030273978</v>
      </c>
    </row>
    <row r="4" spans="1:19" ht="17" thickBot="1">
      <c r="A4" s="1" t="s">
        <v>7</v>
      </c>
      <c r="B4" s="6">
        <v>42.407200000000003</v>
      </c>
      <c r="C4" s="7">
        <v>-71.382400000000004</v>
      </c>
      <c r="D4" s="8" t="s">
        <v>28</v>
      </c>
      <c r="E4" s="8" t="s">
        <v>29</v>
      </c>
      <c r="F4" s="9">
        <v>30.8417873382568</v>
      </c>
      <c r="G4" s="9">
        <v>-22.9295635223388</v>
      </c>
      <c r="H4" t="s">
        <v>41</v>
      </c>
      <c r="I4" t="s">
        <v>42</v>
      </c>
      <c r="J4" s="9">
        <v>30.648983001708899</v>
      </c>
      <c r="K4" s="9">
        <v>-27.992193222045898</v>
      </c>
      <c r="L4" t="s">
        <v>41</v>
      </c>
      <c r="M4" t="s">
        <v>42</v>
      </c>
      <c r="O4">
        <f t="shared" si="0"/>
        <v>11.565412661743203</v>
      </c>
      <c r="P4">
        <f t="shared" si="1"/>
        <v>48.452836477661208</v>
      </c>
      <c r="R4">
        <f t="shared" si="2"/>
        <v>11.758216998291104</v>
      </c>
      <c r="S4">
        <f t="shared" si="3"/>
        <v>43.390206777954106</v>
      </c>
    </row>
    <row r="5" spans="1:19" ht="17" thickBot="1">
      <c r="A5" s="1" t="s">
        <v>8</v>
      </c>
      <c r="B5" s="6">
        <v>32.755499999999998</v>
      </c>
      <c r="C5" s="7">
        <v>-97.330799999999996</v>
      </c>
      <c r="D5" s="8" t="s">
        <v>28</v>
      </c>
      <c r="E5" s="8" t="s">
        <v>29</v>
      </c>
      <c r="F5" s="9">
        <v>28.373414993286101</v>
      </c>
      <c r="G5" s="9">
        <v>-81.538688659667898</v>
      </c>
      <c r="H5" s="13" t="s">
        <v>43</v>
      </c>
      <c r="I5" s="13" t="s">
        <v>29</v>
      </c>
      <c r="J5" s="9">
        <v>28.348302841186499</v>
      </c>
      <c r="K5" s="9">
        <v>-81.517311096191406</v>
      </c>
      <c r="L5" s="13" t="s">
        <v>44</v>
      </c>
      <c r="M5" s="13" t="s">
        <v>29</v>
      </c>
      <c r="O5">
        <f t="shared" si="0"/>
        <v>4.382085006713897</v>
      </c>
      <c r="P5">
        <f t="shared" si="1"/>
        <v>15.792111340332099</v>
      </c>
      <c r="R5">
        <f t="shared" si="2"/>
        <v>4.4071971588134993</v>
      </c>
      <c r="S5">
        <f t="shared" si="3"/>
        <v>15.81348890380859</v>
      </c>
    </row>
    <row r="6" spans="1:19" ht="17" thickBot="1">
      <c r="A6" s="1" t="s">
        <v>9</v>
      </c>
      <c r="B6" s="6">
        <v>25.2744</v>
      </c>
      <c r="C6" s="7">
        <v>-71.0565</v>
      </c>
      <c r="D6" s="5" t="s">
        <v>28</v>
      </c>
      <c r="E6" s="5" t="s">
        <v>29</v>
      </c>
      <c r="F6" s="9">
        <v>32.617324829101499</v>
      </c>
      <c r="G6" s="9">
        <v>-96.908760070800696</v>
      </c>
      <c r="H6" s="13" t="s">
        <v>45</v>
      </c>
      <c r="I6" s="13" t="s">
        <v>29</v>
      </c>
      <c r="J6" s="9">
        <v>32.840892791747997</v>
      </c>
      <c r="K6" s="9">
        <v>-97.321472167968693</v>
      </c>
      <c r="L6" s="13" t="s">
        <v>45</v>
      </c>
      <c r="M6" s="13" t="s">
        <v>29</v>
      </c>
      <c r="O6">
        <f t="shared" si="0"/>
        <v>7.3429248291014986</v>
      </c>
      <c r="P6">
        <f t="shared" si="1"/>
        <v>25.852260070800696</v>
      </c>
      <c r="R6">
        <f t="shared" si="2"/>
        <v>7.5664927917479972</v>
      </c>
      <c r="S6">
        <f t="shared" si="3"/>
        <v>26.264972167968693</v>
      </c>
    </row>
    <row r="7" spans="1:19" ht="17" thickBot="1">
      <c r="A7" s="1" t="s">
        <v>10</v>
      </c>
      <c r="B7" s="6">
        <v>33.750100000000003</v>
      </c>
      <c r="C7" s="7">
        <v>-117.9988</v>
      </c>
      <c r="D7" s="5" t="s">
        <v>28</v>
      </c>
      <c r="E7" s="5" t="s">
        <v>29</v>
      </c>
      <c r="F7" s="9">
        <v>42.794723510742102</v>
      </c>
      <c r="G7" s="9">
        <v>-67.733055114746094</v>
      </c>
      <c r="H7" t="s">
        <v>41</v>
      </c>
      <c r="I7" t="s">
        <v>42</v>
      </c>
      <c r="J7" s="9">
        <v>42.101188659667898</v>
      </c>
      <c r="K7" s="9">
        <v>-67.716857910156193</v>
      </c>
      <c r="L7" t="s">
        <v>46</v>
      </c>
      <c r="M7" t="s">
        <v>42</v>
      </c>
      <c r="O7">
        <f t="shared" si="0"/>
        <v>9.0446235107420989</v>
      </c>
      <c r="P7">
        <f t="shared" si="1"/>
        <v>50.265744885253909</v>
      </c>
      <c r="R7">
        <f t="shared" si="2"/>
        <v>8.3510886596678944</v>
      </c>
      <c r="S7">
        <f t="shared" si="3"/>
        <v>50.28194208984381</v>
      </c>
    </row>
    <row r="8" spans="1:19" ht="17" thickBot="1">
      <c r="A8" s="1" t="s">
        <v>11</v>
      </c>
      <c r="B8" s="6">
        <v>38.907299999999999</v>
      </c>
      <c r="C8" s="7">
        <v>-79.990899999999996</v>
      </c>
      <c r="D8" s="5" t="s">
        <v>28</v>
      </c>
      <c r="E8" s="5" t="s">
        <v>29</v>
      </c>
      <c r="F8" s="9">
        <v>33.726856231689403</v>
      </c>
      <c r="G8" s="9">
        <v>-82.920791625976506</v>
      </c>
      <c r="H8" t="s">
        <v>47</v>
      </c>
      <c r="I8" t="s">
        <v>35</v>
      </c>
      <c r="J8" s="9">
        <v>34.035167694091797</v>
      </c>
      <c r="K8" s="9">
        <v>-83.058723449707003</v>
      </c>
      <c r="L8" s="13" t="s">
        <v>48</v>
      </c>
      <c r="M8" s="13" t="s">
        <v>29</v>
      </c>
      <c r="O8">
        <f t="shared" si="0"/>
        <v>5.1804437683105959</v>
      </c>
      <c r="P8">
        <f t="shared" si="1"/>
        <v>2.9298916259765093</v>
      </c>
      <c r="R8">
        <f t="shared" si="2"/>
        <v>4.8721323059082025</v>
      </c>
      <c r="S8">
        <f t="shared" si="3"/>
        <v>3.0678234497070065</v>
      </c>
    </row>
    <row r="9" spans="1:19" ht="17" thickBot="1">
      <c r="A9" s="1" t="s">
        <v>12</v>
      </c>
      <c r="B9" s="6">
        <v>35.007800000000003</v>
      </c>
      <c r="C9" s="7">
        <v>22.9375</v>
      </c>
      <c r="D9" s="5" t="s">
        <v>30</v>
      </c>
      <c r="E9" s="5" t="s">
        <v>31</v>
      </c>
      <c r="F9" s="9">
        <v>41.126762390136697</v>
      </c>
      <c r="G9" s="9">
        <v>-72.464630126953097</v>
      </c>
      <c r="H9" t="s">
        <v>49</v>
      </c>
      <c r="I9" t="s">
        <v>29</v>
      </c>
      <c r="J9" s="9">
        <v>39.834468841552699</v>
      </c>
      <c r="K9" s="9">
        <v>-72.661270141601506</v>
      </c>
      <c r="L9" t="s">
        <v>46</v>
      </c>
      <c r="M9" t="s">
        <v>42</v>
      </c>
      <c r="O9">
        <f t="shared" si="0"/>
        <v>6.1189623901366943</v>
      </c>
      <c r="P9">
        <f t="shared" si="1"/>
        <v>95.402130126953097</v>
      </c>
      <c r="R9">
        <f t="shared" si="2"/>
        <v>4.8266688415526957</v>
      </c>
      <c r="S9">
        <f t="shared" si="3"/>
        <v>95.598770141601506</v>
      </c>
    </row>
    <row r="10" spans="1:19" ht="17" thickBot="1">
      <c r="A10" s="1" t="s">
        <v>13</v>
      </c>
      <c r="B10" s="6">
        <v>-3.45</v>
      </c>
      <c r="C10" s="7">
        <v>-79.388400000000004</v>
      </c>
      <c r="D10" s="5" t="s">
        <v>32</v>
      </c>
      <c r="E10" s="5" t="s">
        <v>29</v>
      </c>
      <c r="F10" s="9">
        <v>51.059593200683501</v>
      </c>
      <c r="G10" s="9">
        <v>-114.19972229003901</v>
      </c>
      <c r="H10" s="13" t="s">
        <v>50</v>
      </c>
      <c r="I10" s="13" t="s">
        <v>29</v>
      </c>
      <c r="J10" s="9">
        <v>50.887065887451101</v>
      </c>
      <c r="K10" s="9">
        <v>-112.7</v>
      </c>
      <c r="L10" s="13" t="s">
        <v>32</v>
      </c>
      <c r="M10" s="13" t="s">
        <v>29</v>
      </c>
      <c r="O10">
        <f t="shared" si="0"/>
        <v>54.509593200683504</v>
      </c>
      <c r="P10">
        <f t="shared" si="1"/>
        <v>34.811322290039001</v>
      </c>
      <c r="R10">
        <f t="shared" si="2"/>
        <v>54.337065887451104</v>
      </c>
      <c r="S10">
        <f t="shared" si="3"/>
        <v>33.311599999999999</v>
      </c>
    </row>
    <row r="11" spans="1:19" ht="17" thickBot="1">
      <c r="A11" s="1" t="s">
        <v>14</v>
      </c>
      <c r="B11" s="6">
        <v>40.712800000000001</v>
      </c>
      <c r="C11" s="7">
        <v>-97.0929</v>
      </c>
      <c r="D11" s="5" t="s">
        <v>28</v>
      </c>
      <c r="E11" s="5" t="s">
        <v>29</v>
      </c>
      <c r="F11" s="9">
        <v>37.704898834228501</v>
      </c>
      <c r="G11" s="9">
        <v>-102.12483978271401</v>
      </c>
      <c r="H11" s="13" t="s">
        <v>51</v>
      </c>
      <c r="I11" s="13" t="s">
        <v>29</v>
      </c>
      <c r="J11" s="9">
        <v>37.72</v>
      </c>
      <c r="K11" s="9">
        <v>-101.795890808105</v>
      </c>
      <c r="L11" s="13" t="s">
        <v>52</v>
      </c>
      <c r="M11" s="13" t="s">
        <v>29</v>
      </c>
      <c r="O11">
        <f t="shared" si="0"/>
        <v>3.0079011657715</v>
      </c>
      <c r="P11">
        <f t="shared" si="1"/>
        <v>5.0319397827140051</v>
      </c>
      <c r="R11">
        <f t="shared" si="2"/>
        <v>2.9928000000000026</v>
      </c>
      <c r="S11">
        <f t="shared" si="3"/>
        <v>4.7029908081049996</v>
      </c>
    </row>
    <row r="12" spans="1:19">
      <c r="A12" s="1" t="s">
        <v>15</v>
      </c>
      <c r="B12">
        <v>33.659500000000001</v>
      </c>
      <c r="C12">
        <v>151.20769999999999</v>
      </c>
      <c r="D12" s="5" t="s">
        <v>33</v>
      </c>
      <c r="E12" s="5" t="s">
        <v>33</v>
      </c>
      <c r="F12" s="9">
        <v>26.975864410400298</v>
      </c>
      <c r="G12" s="9">
        <v>86.59</v>
      </c>
      <c r="H12" t="s">
        <v>37</v>
      </c>
      <c r="I12" t="s">
        <v>35</v>
      </c>
      <c r="O12">
        <f t="shared" si="0"/>
        <v>6.6836355895997031</v>
      </c>
      <c r="P12">
        <f t="shared" si="1"/>
        <v>64.617699999999985</v>
      </c>
      <c r="R12">
        <f t="shared" si="2"/>
        <v>33.659500000000001</v>
      </c>
      <c r="S12">
        <f t="shared" si="3"/>
        <v>151.20769999999999</v>
      </c>
    </row>
    <row r="13" spans="1:19" ht="17" thickBot="1">
      <c r="A13" s="1" t="s">
        <v>16</v>
      </c>
      <c r="B13" s="6">
        <v>42.886899999999997</v>
      </c>
      <c r="C13" s="7">
        <v>106.3468</v>
      </c>
      <c r="D13" s="5" t="s">
        <v>32</v>
      </c>
      <c r="E13" s="5" t="s">
        <v>29</v>
      </c>
      <c r="F13" s="9">
        <v>40.381404876708899</v>
      </c>
      <c r="G13" s="9">
        <v>-75.068557739257798</v>
      </c>
      <c r="H13" t="s">
        <v>53</v>
      </c>
      <c r="I13" s="13" t="s">
        <v>29</v>
      </c>
      <c r="J13" s="9">
        <v>41.034439086913999</v>
      </c>
      <c r="K13" s="9">
        <v>-73.698951721191406</v>
      </c>
      <c r="L13" t="s">
        <v>54</v>
      </c>
      <c r="M13" s="13" t="s">
        <v>29</v>
      </c>
      <c r="O13">
        <f t="shared" si="0"/>
        <v>2.505495123291098</v>
      </c>
      <c r="P13">
        <f t="shared" si="1"/>
        <v>181.41535773925779</v>
      </c>
      <c r="R13">
        <f t="shared" si="2"/>
        <v>1.8524609130859986</v>
      </c>
      <c r="S13">
        <f t="shared" si="3"/>
        <v>180.04575172119141</v>
      </c>
    </row>
    <row r="14" spans="1:19" ht="17" thickBot="1">
      <c r="A14" s="1" t="s">
        <v>17</v>
      </c>
      <c r="B14" s="6">
        <v>49.191299999999998</v>
      </c>
      <c r="C14" s="7">
        <v>73.878600000000006</v>
      </c>
      <c r="D14" s="5" t="s">
        <v>34</v>
      </c>
      <c r="E14" s="5" t="s">
        <v>35</v>
      </c>
      <c r="F14" s="9">
        <v>32.540569305419901</v>
      </c>
      <c r="G14" s="9">
        <v>114.208251953125</v>
      </c>
      <c r="H14" t="s">
        <v>55</v>
      </c>
      <c r="I14" s="13" t="s">
        <v>35</v>
      </c>
      <c r="O14">
        <f t="shared" si="0"/>
        <v>16.650730694580098</v>
      </c>
      <c r="P14">
        <f t="shared" si="1"/>
        <v>40.329651953124994</v>
      </c>
      <c r="R14">
        <f t="shared" si="2"/>
        <v>49.191299999999998</v>
      </c>
      <c r="S14">
        <f t="shared" si="3"/>
        <v>73.878600000000006</v>
      </c>
    </row>
    <row r="15" spans="1:19" ht="17" thickBot="1">
      <c r="A15" s="1" t="s">
        <v>18</v>
      </c>
      <c r="B15" s="6">
        <v>19.259899999999998</v>
      </c>
      <c r="C15" s="7">
        <v>-79.055800000000005</v>
      </c>
      <c r="D15" s="5" t="s">
        <v>28</v>
      </c>
      <c r="E15" s="5" t="s">
        <v>29</v>
      </c>
      <c r="F15" s="9">
        <v>44.8955268859863</v>
      </c>
      <c r="G15" s="9">
        <v>-32.85</v>
      </c>
      <c r="H15" t="s">
        <v>46</v>
      </c>
      <c r="I15" t="s">
        <v>42</v>
      </c>
      <c r="J15" s="9">
        <v>42.9053955078125</v>
      </c>
      <c r="K15" s="9">
        <v>-37.511512756347599</v>
      </c>
      <c r="L15" t="s">
        <v>46</v>
      </c>
      <c r="M15" t="s">
        <v>42</v>
      </c>
      <c r="O15">
        <f t="shared" si="0"/>
        <v>25.635626885986301</v>
      </c>
      <c r="P15">
        <f t="shared" si="1"/>
        <v>46.205800000000004</v>
      </c>
      <c r="R15">
        <f t="shared" si="2"/>
        <v>23.645495507812502</v>
      </c>
      <c r="S15">
        <f t="shared" si="3"/>
        <v>41.544287243652406</v>
      </c>
    </row>
    <row r="16" spans="1:19" ht="17" thickBot="1">
      <c r="A16" s="1" t="s">
        <v>19</v>
      </c>
      <c r="B16" s="3">
        <v>40.540900000000001</v>
      </c>
      <c r="C16" s="4">
        <v>-74.006</v>
      </c>
      <c r="D16" s="5" t="s">
        <v>28</v>
      </c>
      <c r="E16" s="5" t="s">
        <v>29</v>
      </c>
      <c r="F16" s="9">
        <v>2.6074008941650302</v>
      </c>
      <c r="G16" s="9">
        <v>101.572547912597</v>
      </c>
      <c r="H16" t="s">
        <v>56</v>
      </c>
      <c r="I16" t="s">
        <v>42</v>
      </c>
      <c r="O16">
        <f t="shared" si="0"/>
        <v>37.933499105834969</v>
      </c>
      <c r="P16">
        <f t="shared" si="1"/>
        <v>175.578547912597</v>
      </c>
      <c r="R16">
        <f t="shared" si="2"/>
        <v>40.540900000000001</v>
      </c>
      <c r="S16">
        <f t="shared" si="3"/>
        <v>74.006</v>
      </c>
    </row>
    <row r="17" spans="1:19" ht="17" thickBot="1">
      <c r="A17" s="1" t="s">
        <v>20</v>
      </c>
      <c r="B17" s="6">
        <v>38.907299999999999</v>
      </c>
      <c r="C17" s="7">
        <v>42.886899999999997</v>
      </c>
      <c r="D17" s="5" t="s">
        <v>28</v>
      </c>
      <c r="E17" s="5" t="s">
        <v>29</v>
      </c>
      <c r="F17" s="9">
        <v>43.9746284484863</v>
      </c>
      <c r="G17" s="9">
        <v>-73.127105712890597</v>
      </c>
      <c r="H17" s="13" t="s">
        <v>57</v>
      </c>
      <c r="I17" s="13" t="s">
        <v>29</v>
      </c>
      <c r="J17" s="9">
        <v>43.716129302978501</v>
      </c>
      <c r="K17" s="9">
        <v>-73.623649597167898</v>
      </c>
      <c r="L17" s="13" t="s">
        <v>58</v>
      </c>
      <c r="M17" s="13" t="s">
        <v>29</v>
      </c>
      <c r="O17">
        <f t="shared" si="0"/>
        <v>5.0673284484863004</v>
      </c>
      <c r="P17">
        <f t="shared" si="1"/>
        <v>116.01400571289059</v>
      </c>
      <c r="R17">
        <f t="shared" si="2"/>
        <v>4.8088293029785021</v>
      </c>
      <c r="S17">
        <f t="shared" si="3"/>
        <v>116.51054959716789</v>
      </c>
    </row>
    <row r="18" spans="1:19" ht="17" thickBot="1">
      <c r="A18" s="1" t="s">
        <v>21</v>
      </c>
      <c r="B18" s="6">
        <v>33.862299999999998</v>
      </c>
      <c r="C18" s="7">
        <v>-77.036900000000003</v>
      </c>
      <c r="D18" s="5" t="s">
        <v>28</v>
      </c>
      <c r="E18" s="5" t="s">
        <v>29</v>
      </c>
      <c r="F18" s="9">
        <v>47.391719818115199</v>
      </c>
      <c r="G18" s="9">
        <v>-121.11</v>
      </c>
      <c r="H18" s="13" t="s">
        <v>59</v>
      </c>
      <c r="I18" s="13" t="s">
        <v>29</v>
      </c>
      <c r="J18" s="9">
        <v>46.77</v>
      </c>
      <c r="K18" s="9">
        <v>-119.655540466308</v>
      </c>
      <c r="L18" s="13" t="s">
        <v>60</v>
      </c>
      <c r="M18" s="13" t="s">
        <v>29</v>
      </c>
      <c r="O18">
        <f t="shared" si="0"/>
        <v>13.529419818115201</v>
      </c>
      <c r="P18">
        <f t="shared" si="1"/>
        <v>44.073099999999997</v>
      </c>
      <c r="R18">
        <f t="shared" si="2"/>
        <v>12.907700000000006</v>
      </c>
      <c r="S18">
        <f t="shared" si="3"/>
        <v>42.618640466307994</v>
      </c>
    </row>
    <row r="19" spans="1:19" ht="17" thickBot="1">
      <c r="A19" s="1" t="s">
        <v>22</v>
      </c>
      <c r="B19" s="6">
        <v>51.507399999999997</v>
      </c>
      <c r="C19" s="7">
        <v>174.7645</v>
      </c>
      <c r="D19" s="5" t="s">
        <v>36</v>
      </c>
      <c r="E19" s="5" t="s">
        <v>35</v>
      </c>
      <c r="F19" s="9">
        <v>0.262911707162857</v>
      </c>
      <c r="G19" s="9">
        <v>20.662620544433501</v>
      </c>
      <c r="H19" t="s">
        <v>61</v>
      </c>
      <c r="I19" t="s">
        <v>31</v>
      </c>
      <c r="J19" s="9">
        <v>-1.98490345478057</v>
      </c>
      <c r="K19" s="9">
        <v>6.2381782531738201</v>
      </c>
      <c r="L19" t="s">
        <v>62</v>
      </c>
      <c r="M19" t="s">
        <v>42</v>
      </c>
      <c r="O19">
        <f t="shared" si="0"/>
        <v>51.24448829283714</v>
      </c>
      <c r="P19">
        <f t="shared" si="1"/>
        <v>154.10187945556649</v>
      </c>
      <c r="R19">
        <f t="shared" si="2"/>
        <v>53.492303454780568</v>
      </c>
      <c r="S19">
        <f t="shared" si="3"/>
        <v>168.52632174682617</v>
      </c>
    </row>
    <row r="20" spans="1:19" ht="17" thickBot="1">
      <c r="A20" s="1" t="s">
        <v>23</v>
      </c>
      <c r="B20" s="6">
        <v>36.372399999999999</v>
      </c>
      <c r="C20" s="7">
        <v>139.65</v>
      </c>
      <c r="D20" s="5" t="s">
        <v>35</v>
      </c>
      <c r="E20" s="5" t="s">
        <v>37</v>
      </c>
      <c r="F20" s="9">
        <v>39.144523620605398</v>
      </c>
      <c r="G20" s="9">
        <v>-85.750579833984304</v>
      </c>
      <c r="H20" t="s">
        <v>63</v>
      </c>
      <c r="I20" t="s">
        <v>29</v>
      </c>
      <c r="J20" s="9">
        <v>37.955364227294901</v>
      </c>
      <c r="K20" s="9">
        <v>-87.795303344726506</v>
      </c>
      <c r="L20" t="s">
        <v>64</v>
      </c>
      <c r="M20" t="s">
        <v>29</v>
      </c>
      <c r="O20">
        <f t="shared" si="0"/>
        <v>2.7721236206053987</v>
      </c>
      <c r="P20">
        <f t="shared" si="1"/>
        <v>225.4005798339843</v>
      </c>
      <c r="R20">
        <f t="shared" si="2"/>
        <v>1.5829642272949016</v>
      </c>
      <c r="S20">
        <f t="shared" si="3"/>
        <v>227.44530334472651</v>
      </c>
    </row>
    <row r="21" spans="1:19" ht="221">
      <c r="A21" s="2" t="s">
        <v>24</v>
      </c>
      <c r="B21" s="5">
        <v>28.3949</v>
      </c>
      <c r="C21" s="5">
        <v>84.123999999999995</v>
      </c>
      <c r="D21" s="5" t="s">
        <v>35</v>
      </c>
      <c r="E21" s="5" t="s">
        <v>37</v>
      </c>
      <c r="F21" s="10">
        <v>86.418769836425696</v>
      </c>
      <c r="G21" s="10">
        <v>86.418769836425696</v>
      </c>
      <c r="H21" t="s">
        <v>42</v>
      </c>
      <c r="I21" t="s">
        <v>42</v>
      </c>
      <c r="O21">
        <f>ABS(B21-F21)</f>
        <v>58.023869836425696</v>
      </c>
      <c r="P21">
        <f t="shared" si="1"/>
        <v>2.2947698364257008</v>
      </c>
      <c r="R21">
        <f t="shared" si="2"/>
        <v>28.3949</v>
      </c>
      <c r="S21">
        <f t="shared" si="3"/>
        <v>84.123999999999995</v>
      </c>
    </row>
    <row r="22" spans="1:19" ht="272">
      <c r="A22" s="11" t="s">
        <v>25</v>
      </c>
      <c r="B22">
        <v>27.951699999999999</v>
      </c>
      <c r="C22">
        <v>-87.632400000000004</v>
      </c>
      <c r="D22" t="s">
        <v>28</v>
      </c>
      <c r="E22" t="s">
        <v>29</v>
      </c>
      <c r="F22" s="12">
        <v>41.977729797363203</v>
      </c>
      <c r="G22" s="12">
        <v>-87.825607299804602</v>
      </c>
      <c r="H22" s="13" t="s">
        <v>66</v>
      </c>
      <c r="I22" s="13" t="s">
        <v>29</v>
      </c>
      <c r="J22" s="12">
        <v>41.913352966308501</v>
      </c>
      <c r="K22" s="12">
        <v>-88.098457336425696</v>
      </c>
      <c r="L22" s="13" t="s">
        <v>65</v>
      </c>
      <c r="M22" s="13" t="s">
        <v>29</v>
      </c>
      <c r="O22">
        <f t="shared" si="0"/>
        <v>14.026029797363204</v>
      </c>
      <c r="P22">
        <f t="shared" si="1"/>
        <v>0.19320729980459816</v>
      </c>
      <c r="R22">
        <f t="shared" si="2"/>
        <v>13.961652966308502</v>
      </c>
      <c r="S22">
        <f t="shared" si="3"/>
        <v>0.46605733642569191</v>
      </c>
    </row>
    <row r="23" spans="1:19">
      <c r="O23" s="14">
        <f>AVERAGE(O2:O22)</f>
        <v>16.038936059395457</v>
      </c>
      <c r="P23" s="14">
        <f t="shared" ref="P23:S23" si="4">AVERAGE(P2:P22)</f>
        <v>63.571192003377185</v>
      </c>
      <c r="Q23" s="14"/>
      <c r="R23" s="14">
        <f t="shared" si="4"/>
        <v>17.427024198559341</v>
      </c>
      <c r="S23" s="14">
        <f t="shared" si="4"/>
        <v>68.632357685634005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 Gagné</dc:creator>
  <cp:lastModifiedBy>Mac Gagné</cp:lastModifiedBy>
  <dcterms:created xsi:type="dcterms:W3CDTF">2026-04-06T21:24:23Z</dcterms:created>
  <dcterms:modified xsi:type="dcterms:W3CDTF">2026-04-17T01:02:04Z</dcterms:modified>
</cp:coreProperties>
</file>
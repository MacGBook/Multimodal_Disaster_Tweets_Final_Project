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Ablation Study Results/Baseline- english and not english/"/>
    </mc:Choice>
  </mc:AlternateContent>
  <xr:revisionPtr revIDLastSave="0" documentId="13_ncr:1_{BE92EF2C-6B2B-A049-8A12-D4F43039A550}" xr6:coauthVersionLast="47" xr6:coauthVersionMax="47" xr10:uidLastSave="{00000000-0000-0000-0000-000000000000}"/>
  <bookViews>
    <workbookView xWindow="15900" yWindow="1300" windowWidth="28800" windowHeight="18000" xr2:uid="{DD53064F-D84C-8244-944D-38B7CD6C3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" i="1" l="1"/>
  <c r="R23" i="1"/>
  <c r="S23" i="1"/>
  <c r="O2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S2" i="1"/>
  <c r="P2" i="1"/>
  <c r="R2" i="1"/>
  <c r="O2" i="1"/>
</calcChain>
</file>

<file path=xl/sharedStrings.xml><?xml version="1.0" encoding="utf-8"?>
<sst xmlns="http://schemas.openxmlformats.org/spreadsheetml/2006/main" count="160" uniqueCount="68">
  <si>
    <t>Text</t>
  </si>
  <si>
    <t>Real Lat</t>
  </si>
  <si>
    <t>Real Lon</t>
  </si>
  <si>
    <t>country</t>
  </si>
  <si>
    <t>continent</t>
  </si>
  <si>
    <t>"Birmingham Wholesale Market is ablaze BBC News - Fire breaks out at Birmingham's Wholesale Market http://t.co/irWqCEZWEU"</t>
  </si>
  <si>
    <t>England</t>
  </si>
  <si>
    <t>Europe</t>
  </si>
  <si>
    <t>England- Birmingham</t>
  </si>
  <si>
    <t>English Channel</t>
  </si>
  <si>
    <t>"Accident cleared in #PaTurnpike on PATP EB between PA-18 and Cranberry slow back to #traffic http://t.co/SL0Oqn0Vyr"</t>
  </si>
  <si>
    <t>USA</t>
  </si>
  <si>
    <t>NA</t>
  </si>
  <si>
    <t>USA- PA</t>
  </si>
  <si>
    <t>"Coincidence Or #Curse? Still #Unresolved Secrets From Past http://t.co/7VG8Df9pLE #accident"</t>
  </si>
  <si>
    <t>Atlantic Ocean</t>
  </si>
  <si>
    <t>None</t>
  </si>
  <si>
    <t>"There's a construction guy working on the Disney store and he has huge gauges in his ears ?? ...that is a bloody accident waiting to happen"</t>
  </si>
  <si>
    <t>USA- Orlando, FL</t>
  </si>
  <si>
    <t>USA- FL</t>
  </si>
  <si>
    <t>"FedEx no longer to transport bioterror germs in wake of anthrax lab mishaps http://t.co/1CsEBhPLfh via @usatoday"</t>
  </si>
  <si>
    <t>USA- TX</t>
  </si>
  <si>
    <t>"@pukesmoothie I don't understand WHY he would put us in that danger."</t>
  </si>
  <si>
    <t>North Atlantic Ocean</t>
  </si>
  <si>
    <t>"@Miss_Instiinctz or mostly around lava too"</t>
  </si>
  <si>
    <t>China, Tibet</t>
  </si>
  <si>
    <t>Asia</t>
  </si>
  <si>
    <t>USA, GA</t>
  </si>
  <si>
    <t>"RICHIE: This was #Calgary yesterday after a crazy #hailstorm! pics via Calgary Herald http://t.co/1oH20qHk2l"</t>
  </si>
  <si>
    <t>Canada</t>
  </si>
  <si>
    <t>Canada, Calgary</t>
  </si>
  <si>
    <t>"Severe Thunderstorm 7 Miles North of Arcadia Moving SE At 20 MPH. 60 MPH Wind Gusts and Large Hail. Hail... #okwx http://t.co/WEd69e4KRg"</t>
  </si>
  <si>
    <t>USA, Colorado</t>
  </si>
  <si>
    <t>KS, USA</t>
  </si>
  <si>
    <t>"#Children traumatised after the Nepal earthquake are educated on coping mechanisms. http://t.co/UbwDBydK1a"</t>
  </si>
  <si>
    <t>Australia</t>
  </si>
  <si>
    <t>Nepal</t>
  </si>
  <si>
    <t>"#yyc #hailstorm #christmas came early https://t.co/f0A2IIzx3A"</t>
  </si>
  <si>
    <t>USA, PA</t>
  </si>
  <si>
    <t>NY, USA</t>
  </si>
  <si>
    <t>"@wral there are now 5 fire trucks and 2 ambulances at Wellington ridge lp in Cary. one of the units is on fire. not sure on injuries"</t>
  </si>
  <si>
    <t>"Plane debris is from #MH370 - it was a controlled crash. In other words it was mass murder by a musim http://t.co/J3xFDg9CWF @newscomauHQ"</t>
  </si>
  <si>
    <t>Indian Ocean, Malaysia</t>
  </si>
  <si>
    <t>"Police continue to investigate fatal shooting on Vermont &amp;amp; 14th Street http://t.co/daACJ5Hfmq"</t>
  </si>
  <si>
    <t>USA, VT</t>
  </si>
  <si>
    <t>NY USA</t>
  </si>
  <si>
    <t>"Ukraine famine memorial in progress since 2006 goes up in Washington: http://t.co/Td7VIEoODi"</t>
  </si>
  <si>
    <t>USA, WA</t>
  </si>
  <si>
    <t>WA USA</t>
  </si>
  <si>
    <t>More Severe Weather Heads Toward Chicago Area: A brief violent storm swept through the Chicago area Sunday af... http://t.co/JWSLLsuKjg</t>
  </si>
  <si>
    <t>I don't wake up until another 2 hours &amp;amp;&amp;amp; I get interrupted . ????? I hate thunder .. ??</t>
  </si>
  <si>
    <t>it doesn't really get much better then summer thunder storms wrapped in a blanket. #icouldsitinthismomentforever</t>
  </si>
  <si>
    <t>driving home after a fairly large rainstorm makes me wonder how some of y'all manage to drive when it's dry out</t>
  </si>
  <si>
    <t>Don't blame the messenger. Food panic in Venezuela. 1 minute video.Thanks SHTFPlan!
https://t.co/QBSTQXA6QX</t>
  </si>
  <si>
    <t>TommyGShow: Burlington County offers to purchase landslide-damaged properties in Florence http://t.co/xgguElyxyi</t>
  </si>
  <si>
    <t>USA, IL Chicago</t>
  </si>
  <si>
    <t>USA, IL</t>
  </si>
  <si>
    <t>USA, TN</t>
  </si>
  <si>
    <t>Venezuela</t>
  </si>
  <si>
    <t>SA</t>
  </si>
  <si>
    <t>USA, WV</t>
  </si>
  <si>
    <t>USA, OH</t>
  </si>
  <si>
    <t>lon</t>
  </si>
  <si>
    <t>lat</t>
  </si>
  <si>
    <t>lat error</t>
  </si>
  <si>
    <t>lon error</t>
  </si>
  <si>
    <t>lat error 2</t>
  </si>
  <si>
    <t>lon error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</si>
</sst>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2AA198"/>
      <name val="Menlo"/>
      <family val="2"/>
    </font>
    <font>
      <sz val="12"/>
      <color rgb="FF000000"/>
      <name val="Aptos Narrow"/>
    </font>
    <font>
      <sz val="11"/>
      <color rgb="FF000000"/>
      <name val="Menlo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.AppleSystemUIFontMonospaced"/>
    </font>
  </fonts>
  <fills count="5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0" xfId="0" applyFont="1"/>
    <xf numFmtId="0" fontId="4" fillId="0" borderId="0" xfId="0" applyFont="1"/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5" fillId="0" borderId="0" xfId="0" applyFont="1"/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0" xfId="0" applyFont="1"/>
    <xf numFmtId="0" fontId="0" fillId="3" borderId="0" xfId="0" applyFill="1"/>
    <xf numFmtId="0" fontId="3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12D9-0069-0049-94BC-A9613BF5E2EF}">
  <dimension ref="A1:S29"/>
  <sheetViews>
    <sheetView tabSelected="1" topLeftCell="A21" workbookViewId="0">
      <selection activeCell="O23" sqref="O23:S23"/>
    </sheetView>
  </sheetViews>
  <sheetFormatPr baseColWidth="10" defaultRowHeight="16"/>
  <sheetData>
    <row r="1" spans="1:19" ht="17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63</v>
      </c>
      <c r="G1" t="s">
        <v>62</v>
      </c>
      <c r="H1" t="s">
        <v>3</v>
      </c>
      <c r="I1" t="s">
        <v>4</v>
      </c>
      <c r="J1" t="s">
        <v>63</v>
      </c>
      <c r="K1" t="s">
        <v>62</v>
      </c>
      <c r="L1" t="s">
        <v>3</v>
      </c>
      <c r="M1" t="s">
        <v>4</v>
      </c>
      <c r="O1" t="s">
        <v>64</v>
      </c>
      <c r="P1" t="s">
        <v>65</v>
      </c>
      <c r="R1" t="s">
        <v>66</v>
      </c>
      <c r="S1" t="s">
        <v>67</v>
      </c>
    </row>
    <row r="2" spans="1:19" ht="17" thickBot="1">
      <c r="A2" s="1" t="s">
        <v>5</v>
      </c>
      <c r="B2" s="2">
        <v>51.507399999999997</v>
      </c>
      <c r="C2" s="3">
        <v>-0.12770000000000001</v>
      </c>
      <c r="D2" t="s">
        <v>6</v>
      </c>
      <c r="E2" t="s">
        <v>7</v>
      </c>
      <c r="F2" s="4">
        <v>52.4778022766113</v>
      </c>
      <c r="G2" s="4">
        <v>-1.74</v>
      </c>
      <c r="H2" s="15" t="s">
        <v>8</v>
      </c>
      <c r="I2" s="15" t="s">
        <v>7</v>
      </c>
      <c r="J2" s="4">
        <v>49.594547271728501</v>
      </c>
      <c r="K2" s="4">
        <v>-3.5567886829376198</v>
      </c>
      <c r="L2" s="15" t="s">
        <v>9</v>
      </c>
      <c r="M2" s="15" t="s">
        <v>7</v>
      </c>
      <c r="O2">
        <f>ABS(B2-F2)</f>
        <v>0.97040227661130274</v>
      </c>
      <c r="P2">
        <f>ABS(C2-G2)</f>
        <v>1.6123000000000001</v>
      </c>
      <c r="R2">
        <f>ABS(B2-J2)</f>
        <v>1.9128527282714956</v>
      </c>
      <c r="S2">
        <f>ABS(C2-K2)</f>
        <v>3.4290886829376199</v>
      </c>
    </row>
    <row r="3" spans="1:19" ht="17" thickBot="1">
      <c r="A3" s="1" t="s">
        <v>10</v>
      </c>
      <c r="B3" s="2">
        <v>40.458599999999997</v>
      </c>
      <c r="C3" s="3">
        <v>-79.889899999999997</v>
      </c>
      <c r="D3" s="5" t="s">
        <v>11</v>
      </c>
      <c r="E3" s="5" t="s">
        <v>12</v>
      </c>
      <c r="F3" s="4">
        <v>41.081661224365199</v>
      </c>
      <c r="G3" s="4">
        <v>-75.270004272460895</v>
      </c>
      <c r="H3" s="15" t="s">
        <v>13</v>
      </c>
      <c r="I3" s="15" t="s">
        <v>12</v>
      </c>
      <c r="J3" s="4">
        <v>41.3635864257812</v>
      </c>
      <c r="K3" s="4">
        <v>-74.847694396972599</v>
      </c>
      <c r="L3" s="15" t="s">
        <v>13</v>
      </c>
      <c r="M3" s="15" t="s">
        <v>12</v>
      </c>
      <c r="O3">
        <f t="shared" ref="O3:O22" si="0">ABS(B3-F3)</f>
        <v>0.62306122436520184</v>
      </c>
      <c r="P3">
        <f t="shared" ref="P3:P22" si="1">ABS(C3-G3)</f>
        <v>4.6198957275391024</v>
      </c>
      <c r="R3">
        <f t="shared" ref="R3:R22" si="2">ABS(B3-J3)</f>
        <v>0.90498642578120325</v>
      </c>
      <c r="S3">
        <f t="shared" ref="S3:S22" si="3">ABS(C3-K3)</f>
        <v>5.0422056030273978</v>
      </c>
    </row>
    <row r="4" spans="1:19" ht="17" thickBot="1">
      <c r="A4" s="1" t="s">
        <v>14</v>
      </c>
      <c r="B4" s="6">
        <v>42.407200000000003</v>
      </c>
      <c r="C4" s="7">
        <v>-71.382400000000004</v>
      </c>
      <c r="D4" s="8" t="s">
        <v>11</v>
      </c>
      <c r="E4" s="8" t="s">
        <v>12</v>
      </c>
      <c r="F4" s="4">
        <v>30.8417873382568</v>
      </c>
      <c r="G4" s="4">
        <v>-22.9295635223388</v>
      </c>
      <c r="H4" t="s">
        <v>15</v>
      </c>
      <c r="I4" t="s">
        <v>16</v>
      </c>
      <c r="J4" s="4">
        <v>30.648983001708899</v>
      </c>
      <c r="K4" s="4">
        <v>-27.992193222045898</v>
      </c>
      <c r="L4" t="s">
        <v>15</v>
      </c>
      <c r="M4" t="s">
        <v>16</v>
      </c>
      <c r="O4">
        <f t="shared" si="0"/>
        <v>11.565412661743203</v>
      </c>
      <c r="P4">
        <f t="shared" si="1"/>
        <v>48.452836477661208</v>
      </c>
      <c r="R4">
        <f t="shared" si="2"/>
        <v>11.758216998291104</v>
      </c>
      <c r="S4">
        <f t="shared" si="3"/>
        <v>43.390206777954106</v>
      </c>
    </row>
    <row r="5" spans="1:19" ht="17" thickBot="1">
      <c r="A5" s="1" t="s">
        <v>17</v>
      </c>
      <c r="B5" s="6">
        <v>32.755499999999998</v>
      </c>
      <c r="C5" s="7">
        <v>-97.330799999999996</v>
      </c>
      <c r="D5" s="8" t="s">
        <v>11</v>
      </c>
      <c r="E5" s="8" t="s">
        <v>12</v>
      </c>
      <c r="F5" s="4">
        <v>28.373414993286101</v>
      </c>
      <c r="G5" s="4">
        <v>-81.538688659667898</v>
      </c>
      <c r="H5" s="15" t="s">
        <v>18</v>
      </c>
      <c r="I5" s="15" t="s">
        <v>12</v>
      </c>
      <c r="J5" s="4">
        <v>28.348302841186499</v>
      </c>
      <c r="K5" s="4">
        <v>-81.517311096191406</v>
      </c>
      <c r="L5" s="15" t="s">
        <v>19</v>
      </c>
      <c r="M5" s="15" t="s">
        <v>12</v>
      </c>
      <c r="O5">
        <f t="shared" si="0"/>
        <v>4.382085006713897</v>
      </c>
      <c r="P5">
        <f t="shared" si="1"/>
        <v>15.792111340332099</v>
      </c>
      <c r="R5">
        <f t="shared" si="2"/>
        <v>4.4071971588134993</v>
      </c>
      <c r="S5">
        <f t="shared" si="3"/>
        <v>15.81348890380859</v>
      </c>
    </row>
    <row r="6" spans="1:19" ht="17" thickBot="1">
      <c r="A6" s="1" t="s">
        <v>20</v>
      </c>
      <c r="B6" s="6">
        <v>25.2744</v>
      </c>
      <c r="C6" s="7">
        <v>-71.0565</v>
      </c>
      <c r="D6" s="5" t="s">
        <v>11</v>
      </c>
      <c r="E6" s="5" t="s">
        <v>12</v>
      </c>
      <c r="F6" s="4">
        <v>32.617324829101499</v>
      </c>
      <c r="G6" s="4">
        <v>-96.908760070800696</v>
      </c>
      <c r="H6" s="15" t="s">
        <v>21</v>
      </c>
      <c r="I6" s="15" t="s">
        <v>12</v>
      </c>
      <c r="J6" s="4">
        <v>32.840892791747997</v>
      </c>
      <c r="K6" s="4">
        <v>-97.321472167968693</v>
      </c>
      <c r="L6" s="15" t="s">
        <v>21</v>
      </c>
      <c r="M6" s="15" t="s">
        <v>12</v>
      </c>
      <c r="O6">
        <f t="shared" si="0"/>
        <v>7.3429248291014986</v>
      </c>
      <c r="P6">
        <f t="shared" si="1"/>
        <v>25.852260070800696</v>
      </c>
      <c r="R6">
        <f t="shared" si="2"/>
        <v>7.5664927917479972</v>
      </c>
      <c r="S6">
        <f t="shared" si="3"/>
        <v>26.264972167968693</v>
      </c>
    </row>
    <row r="7" spans="1:19" ht="17" thickBot="1">
      <c r="A7" s="1" t="s">
        <v>22</v>
      </c>
      <c r="B7" s="6">
        <v>33.750100000000003</v>
      </c>
      <c r="C7" s="7">
        <v>-117.9988</v>
      </c>
      <c r="D7" s="5" t="s">
        <v>11</v>
      </c>
      <c r="E7" s="5" t="s">
        <v>12</v>
      </c>
      <c r="F7" s="4">
        <v>42.794723510742102</v>
      </c>
      <c r="G7" s="4">
        <v>-67.733055114746094</v>
      </c>
      <c r="H7" t="s">
        <v>15</v>
      </c>
      <c r="I7" t="s">
        <v>16</v>
      </c>
      <c r="J7" s="4">
        <v>42.101188659667898</v>
      </c>
      <c r="K7" s="4">
        <v>-67.716857910156193</v>
      </c>
      <c r="L7" t="s">
        <v>23</v>
      </c>
      <c r="M7" t="s">
        <v>16</v>
      </c>
      <c r="O7">
        <f t="shared" si="0"/>
        <v>9.0446235107420989</v>
      </c>
      <c r="P7">
        <f t="shared" si="1"/>
        <v>50.265744885253909</v>
      </c>
      <c r="R7">
        <f t="shared" si="2"/>
        <v>8.3510886596678944</v>
      </c>
      <c r="S7">
        <f t="shared" si="3"/>
        <v>50.28194208984381</v>
      </c>
    </row>
    <row r="8" spans="1:19" ht="17" thickBot="1">
      <c r="A8" s="1" t="s">
        <v>24</v>
      </c>
      <c r="B8" s="6">
        <v>38.907299999999999</v>
      </c>
      <c r="C8" s="7">
        <v>-79.990899999999996</v>
      </c>
      <c r="D8" s="5" t="s">
        <v>11</v>
      </c>
      <c r="E8" s="5" t="s">
        <v>12</v>
      </c>
      <c r="F8" s="4">
        <v>33.726856231689403</v>
      </c>
      <c r="G8" s="4">
        <v>-82.920791625976506</v>
      </c>
      <c r="H8" t="s">
        <v>25</v>
      </c>
      <c r="I8" t="s">
        <v>26</v>
      </c>
      <c r="J8" s="4">
        <v>34.035167694091797</v>
      </c>
      <c r="K8" s="4">
        <v>-83.058723449707003</v>
      </c>
      <c r="L8" s="15" t="s">
        <v>27</v>
      </c>
      <c r="M8" s="15" t="s">
        <v>12</v>
      </c>
      <c r="O8">
        <f t="shared" si="0"/>
        <v>5.1804437683105959</v>
      </c>
      <c r="P8">
        <f t="shared" si="1"/>
        <v>2.9298916259765093</v>
      </c>
      <c r="R8">
        <f t="shared" si="2"/>
        <v>4.8721323059082025</v>
      </c>
      <c r="S8">
        <f t="shared" si="3"/>
        <v>3.0678234497070065</v>
      </c>
    </row>
    <row r="9" spans="1:19" ht="17" thickBot="1">
      <c r="A9" s="1" t="s">
        <v>28</v>
      </c>
      <c r="B9" s="6">
        <v>-3.45</v>
      </c>
      <c r="C9" s="7">
        <v>-79.388400000000004</v>
      </c>
      <c r="D9" s="5" t="s">
        <v>29</v>
      </c>
      <c r="E9" s="5" t="s">
        <v>12</v>
      </c>
      <c r="F9" s="4">
        <v>51.059593200683501</v>
      </c>
      <c r="G9" s="4">
        <v>-114.19972229003901</v>
      </c>
      <c r="H9" s="15" t="s">
        <v>30</v>
      </c>
      <c r="I9" s="15" t="s">
        <v>12</v>
      </c>
      <c r="J9" s="4">
        <v>50.887065887451101</v>
      </c>
      <c r="K9" s="4">
        <v>-112</v>
      </c>
      <c r="L9" s="15" t="s">
        <v>29</v>
      </c>
      <c r="M9" s="15" t="s">
        <v>12</v>
      </c>
      <c r="O9">
        <f t="shared" si="0"/>
        <v>54.509593200683504</v>
      </c>
      <c r="P9">
        <f t="shared" si="1"/>
        <v>34.811322290039001</v>
      </c>
      <c r="R9">
        <f t="shared" si="2"/>
        <v>54.337065887451104</v>
      </c>
      <c r="S9">
        <f t="shared" si="3"/>
        <v>32.611599999999996</v>
      </c>
    </row>
    <row r="10" spans="1:19" ht="17" thickBot="1">
      <c r="A10" s="1" t="s">
        <v>31</v>
      </c>
      <c r="B10" s="6">
        <v>40.712800000000001</v>
      </c>
      <c r="C10" s="7">
        <v>-97.0929</v>
      </c>
      <c r="D10" s="5" t="s">
        <v>11</v>
      </c>
      <c r="E10" s="5" t="s">
        <v>12</v>
      </c>
      <c r="F10" s="4">
        <v>37.704898834228501</v>
      </c>
      <c r="G10" s="4">
        <v>-102.12483978271401</v>
      </c>
      <c r="H10" s="15" t="s">
        <v>32</v>
      </c>
      <c r="I10" s="15" t="s">
        <v>12</v>
      </c>
      <c r="J10" s="4">
        <v>37.71</v>
      </c>
      <c r="K10" s="4">
        <v>-101.795890808105</v>
      </c>
      <c r="L10" s="15" t="s">
        <v>33</v>
      </c>
      <c r="M10" s="15" t="s">
        <v>12</v>
      </c>
      <c r="O10">
        <f t="shared" si="0"/>
        <v>3.0079011657715</v>
      </c>
      <c r="P10">
        <f t="shared" si="1"/>
        <v>5.0319397827140051</v>
      </c>
      <c r="R10">
        <f t="shared" si="2"/>
        <v>3.0028000000000006</v>
      </c>
      <c r="S10">
        <f t="shared" si="3"/>
        <v>4.7029908081049996</v>
      </c>
    </row>
    <row r="11" spans="1:19">
      <c r="A11" s="1" t="s">
        <v>34</v>
      </c>
      <c r="B11">
        <v>33.659500000000001</v>
      </c>
      <c r="C11">
        <v>151.20769999999999</v>
      </c>
      <c r="D11" s="5" t="s">
        <v>35</v>
      </c>
      <c r="E11" s="5" t="s">
        <v>35</v>
      </c>
      <c r="F11" s="4">
        <v>26.975864410400298</v>
      </c>
      <c r="G11" s="4">
        <v>86.59</v>
      </c>
      <c r="H11" t="s">
        <v>36</v>
      </c>
      <c r="I11" t="s">
        <v>26</v>
      </c>
      <c r="O11">
        <f t="shared" si="0"/>
        <v>6.6836355895997031</v>
      </c>
      <c r="P11">
        <f t="shared" si="1"/>
        <v>64.617699999999985</v>
      </c>
      <c r="R11">
        <f t="shared" si="2"/>
        <v>33.659500000000001</v>
      </c>
      <c r="S11">
        <f t="shared" si="3"/>
        <v>151.20769999999999</v>
      </c>
    </row>
    <row r="12" spans="1:19" ht="17" thickBot="1">
      <c r="A12" s="1" t="s">
        <v>37</v>
      </c>
      <c r="B12" s="6">
        <v>42.886899999999997</v>
      </c>
      <c r="C12" s="7">
        <v>106.3468</v>
      </c>
      <c r="D12" s="5" t="s">
        <v>29</v>
      </c>
      <c r="E12" s="5" t="s">
        <v>12</v>
      </c>
      <c r="F12" s="4">
        <v>40.381404876708899</v>
      </c>
      <c r="G12" s="4">
        <v>-75.068557739257798</v>
      </c>
      <c r="H12" t="s">
        <v>38</v>
      </c>
      <c r="I12" s="15" t="s">
        <v>12</v>
      </c>
      <c r="J12" s="4">
        <v>41.034439086913999</v>
      </c>
      <c r="K12" s="4">
        <v>-73.698951721191406</v>
      </c>
      <c r="L12" t="s">
        <v>39</v>
      </c>
      <c r="M12" s="15" t="s">
        <v>12</v>
      </c>
      <c r="O12">
        <f t="shared" si="0"/>
        <v>2.505495123291098</v>
      </c>
      <c r="P12">
        <f t="shared" si="1"/>
        <v>181.41535773925779</v>
      </c>
      <c r="R12">
        <f t="shared" si="2"/>
        <v>1.8524609130859986</v>
      </c>
      <c r="S12">
        <f t="shared" si="3"/>
        <v>180.04575172119141</v>
      </c>
    </row>
    <row r="13" spans="1:19" ht="17" thickBot="1">
      <c r="A13" s="1" t="s">
        <v>40</v>
      </c>
      <c r="B13" s="9">
        <v>19.259899999999998</v>
      </c>
      <c r="C13" s="10">
        <v>-79.055800000000005</v>
      </c>
      <c r="D13" s="5" t="s">
        <v>11</v>
      </c>
      <c r="E13" s="5" t="s">
        <v>12</v>
      </c>
      <c r="F13" s="4">
        <v>44.8955268859863</v>
      </c>
      <c r="G13" s="4">
        <v>-32.85</v>
      </c>
      <c r="H13" t="s">
        <v>23</v>
      </c>
      <c r="I13" t="s">
        <v>16</v>
      </c>
      <c r="J13" s="4">
        <v>42.9053955078125</v>
      </c>
      <c r="K13" s="4">
        <v>-37.511512756347599</v>
      </c>
      <c r="L13" t="s">
        <v>23</v>
      </c>
      <c r="M13" t="s">
        <v>16</v>
      </c>
      <c r="O13">
        <f t="shared" si="0"/>
        <v>25.635626885986301</v>
      </c>
      <c r="P13">
        <f t="shared" si="1"/>
        <v>46.205800000000004</v>
      </c>
      <c r="R13">
        <f t="shared" si="2"/>
        <v>23.645495507812502</v>
      </c>
      <c r="S13">
        <f t="shared" si="3"/>
        <v>41.544287243652406</v>
      </c>
    </row>
    <row r="14" spans="1:19" ht="17" thickBot="1">
      <c r="A14" s="1" t="s">
        <v>41</v>
      </c>
      <c r="B14" s="11">
        <v>40.540900000000001</v>
      </c>
      <c r="C14" s="12">
        <v>-74.006</v>
      </c>
      <c r="D14" s="5" t="s">
        <v>11</v>
      </c>
      <c r="E14" s="5" t="s">
        <v>12</v>
      </c>
      <c r="F14" s="4">
        <v>2.6074008941650302</v>
      </c>
      <c r="G14" s="4">
        <v>101.572547912597</v>
      </c>
      <c r="H14" t="s">
        <v>42</v>
      </c>
      <c r="I14" t="s">
        <v>16</v>
      </c>
      <c r="O14">
        <f t="shared" si="0"/>
        <v>37.933499105834969</v>
      </c>
      <c r="P14">
        <f t="shared" si="1"/>
        <v>175.578547912597</v>
      </c>
      <c r="R14">
        <f t="shared" si="2"/>
        <v>40.540900000000001</v>
      </c>
      <c r="S14">
        <f t="shared" si="3"/>
        <v>74.006</v>
      </c>
    </row>
    <row r="15" spans="1:19" ht="17" thickBot="1">
      <c r="A15" s="1" t="s">
        <v>43</v>
      </c>
      <c r="B15" s="9">
        <v>38.907299999999999</v>
      </c>
      <c r="C15" s="10">
        <v>42.886899999999997</v>
      </c>
      <c r="D15" s="5" t="s">
        <v>11</v>
      </c>
      <c r="E15" s="5" t="s">
        <v>12</v>
      </c>
      <c r="F15" s="4">
        <v>43.9746284484863</v>
      </c>
      <c r="G15" s="4">
        <v>-73.127105712890597</v>
      </c>
      <c r="H15" s="15" t="s">
        <v>44</v>
      </c>
      <c r="I15" s="15" t="s">
        <v>12</v>
      </c>
      <c r="J15" s="4">
        <v>43.716129302978501</v>
      </c>
      <c r="K15" s="4">
        <v>-73.623649597167898</v>
      </c>
      <c r="L15" s="15" t="s">
        <v>45</v>
      </c>
      <c r="M15" s="15" t="s">
        <v>12</v>
      </c>
      <c r="O15">
        <f t="shared" si="0"/>
        <v>5.0673284484863004</v>
      </c>
      <c r="P15">
        <f t="shared" si="1"/>
        <v>116.01400571289059</v>
      </c>
      <c r="R15">
        <f t="shared" si="2"/>
        <v>4.8088293029785021</v>
      </c>
      <c r="S15">
        <f t="shared" si="3"/>
        <v>116.51054959716789</v>
      </c>
    </row>
    <row r="16" spans="1:19" ht="17" thickBot="1">
      <c r="A16" s="1" t="s">
        <v>46</v>
      </c>
      <c r="B16" s="9">
        <v>33.862299999999998</v>
      </c>
      <c r="C16" s="10">
        <v>-77.036900000000003</v>
      </c>
      <c r="D16" s="5" t="s">
        <v>11</v>
      </c>
      <c r="E16" s="5" t="s">
        <v>12</v>
      </c>
      <c r="F16" s="4">
        <v>47.391719818115199</v>
      </c>
      <c r="G16" s="4">
        <v>-121.11</v>
      </c>
      <c r="H16" s="15" t="s">
        <v>47</v>
      </c>
      <c r="I16" s="15" t="s">
        <v>12</v>
      </c>
      <c r="J16" s="4">
        <v>46.77</v>
      </c>
      <c r="K16" s="4">
        <v>-119.655540466308</v>
      </c>
      <c r="L16" s="15" t="s">
        <v>48</v>
      </c>
      <c r="M16" s="15" t="s">
        <v>12</v>
      </c>
      <c r="O16">
        <f t="shared" si="0"/>
        <v>13.529419818115201</v>
      </c>
      <c r="P16">
        <f t="shared" si="1"/>
        <v>44.073099999999997</v>
      </c>
      <c r="R16">
        <f t="shared" si="2"/>
        <v>12.907700000000006</v>
      </c>
      <c r="S16">
        <f t="shared" si="3"/>
        <v>42.618640466307994</v>
      </c>
    </row>
    <row r="17" spans="1:19" ht="272">
      <c r="A17" s="13" t="s">
        <v>49</v>
      </c>
      <c r="B17">
        <v>27.951699999999999</v>
      </c>
      <c r="C17">
        <v>-87.632400000000004</v>
      </c>
      <c r="D17" t="s">
        <v>11</v>
      </c>
      <c r="E17" t="s">
        <v>12</v>
      </c>
      <c r="F17" s="14">
        <v>41.977729797363203</v>
      </c>
      <c r="G17" s="14">
        <v>-87.825607299804602</v>
      </c>
      <c r="H17" s="15" t="s">
        <v>55</v>
      </c>
      <c r="I17" s="15" t="s">
        <v>12</v>
      </c>
      <c r="J17" s="14">
        <v>41.913352966308501</v>
      </c>
      <c r="K17" s="14">
        <v>-88.1</v>
      </c>
      <c r="L17" s="15" t="s">
        <v>56</v>
      </c>
      <c r="M17" s="15" t="s">
        <v>12</v>
      </c>
      <c r="O17">
        <f t="shared" si="0"/>
        <v>14.026029797363204</v>
      </c>
      <c r="P17">
        <f t="shared" si="1"/>
        <v>0.19320729980459816</v>
      </c>
      <c r="R17">
        <f t="shared" si="2"/>
        <v>13.961652966308502</v>
      </c>
      <c r="S17">
        <f t="shared" si="3"/>
        <v>0.46759999999999025</v>
      </c>
    </row>
    <row r="18" spans="1:19" ht="170">
      <c r="A18" s="13" t="s">
        <v>50</v>
      </c>
      <c r="B18">
        <v>33.816800000000001</v>
      </c>
      <c r="C18">
        <v>-85.602400000000003</v>
      </c>
      <c r="D18" s="5" t="s">
        <v>12</v>
      </c>
      <c r="E18" s="5" t="s">
        <v>11</v>
      </c>
      <c r="F18" s="4">
        <v>34.108963012695298</v>
      </c>
      <c r="G18" s="4">
        <v>-84.801658630371094</v>
      </c>
      <c r="H18" s="15" t="s">
        <v>27</v>
      </c>
      <c r="I18" s="15" t="s">
        <v>12</v>
      </c>
      <c r="J18" s="4">
        <v>34.409183502197202</v>
      </c>
      <c r="K18" s="4">
        <v>-84.628372192382798</v>
      </c>
      <c r="L18" s="15" t="s">
        <v>27</v>
      </c>
      <c r="M18" s="15" t="s">
        <v>12</v>
      </c>
      <c r="O18">
        <f t="shared" si="0"/>
        <v>0.29216301269529765</v>
      </c>
      <c r="P18">
        <f t="shared" si="1"/>
        <v>0.80074136962890918</v>
      </c>
      <c r="R18">
        <f t="shared" si="2"/>
        <v>0.59238350219720104</v>
      </c>
      <c r="S18">
        <f t="shared" si="3"/>
        <v>0.97402780761720464</v>
      </c>
    </row>
    <row r="19" spans="1:19" ht="204">
      <c r="A19" s="13" t="s">
        <v>51</v>
      </c>
      <c r="B19">
        <v>2.3599999999999999E-2</v>
      </c>
      <c r="C19">
        <v>-74.006</v>
      </c>
      <c r="D19" s="5" t="s">
        <v>12</v>
      </c>
      <c r="E19" s="5" t="s">
        <v>11</v>
      </c>
      <c r="F19" s="14">
        <v>36.2445068359375</v>
      </c>
      <c r="G19" s="14">
        <v>-85.746482849121094</v>
      </c>
      <c r="H19" s="15" t="s">
        <v>57</v>
      </c>
      <c r="I19" s="15" t="s">
        <v>12</v>
      </c>
      <c r="J19" s="14">
        <v>35.918018341064403</v>
      </c>
      <c r="K19" s="14">
        <v>-86.256660461425696</v>
      </c>
      <c r="L19" s="15" t="s">
        <v>57</v>
      </c>
      <c r="M19" s="15" t="s">
        <v>12</v>
      </c>
      <c r="O19">
        <f t="shared" si="0"/>
        <v>36.220906835937498</v>
      </c>
      <c r="P19">
        <f t="shared" si="1"/>
        <v>11.740482849121094</v>
      </c>
      <c r="R19">
        <f t="shared" si="2"/>
        <v>35.894418341064402</v>
      </c>
      <c r="S19">
        <f t="shared" si="3"/>
        <v>12.250660461425696</v>
      </c>
    </row>
    <row r="20" spans="1:19" ht="170">
      <c r="A20" s="13" t="s">
        <v>52</v>
      </c>
      <c r="B20">
        <v>-12.463699999999999</v>
      </c>
      <c r="C20">
        <v>-90.051900000000003</v>
      </c>
      <c r="D20" s="5" t="s">
        <v>12</v>
      </c>
      <c r="E20" s="5" t="s">
        <v>11</v>
      </c>
      <c r="F20" s="14">
        <v>35.925521850585902</v>
      </c>
      <c r="G20" s="14">
        <v>-84.345451354980398</v>
      </c>
      <c r="H20" s="15" t="s">
        <v>57</v>
      </c>
      <c r="I20" s="15" t="s">
        <v>12</v>
      </c>
      <c r="J20" s="14">
        <v>35.6618843078613</v>
      </c>
      <c r="K20" s="14">
        <v>-84.424324035644503</v>
      </c>
      <c r="L20" s="16" t="s">
        <v>38</v>
      </c>
      <c r="M20" s="15" t="s">
        <v>12</v>
      </c>
      <c r="O20">
        <f t="shared" si="0"/>
        <v>48.389221850585898</v>
      </c>
      <c r="P20">
        <f t="shared" si="1"/>
        <v>5.7064486450196057</v>
      </c>
      <c r="R20">
        <f t="shared" si="2"/>
        <v>48.125584307861303</v>
      </c>
      <c r="S20">
        <f t="shared" si="3"/>
        <v>5.6275759643555006</v>
      </c>
    </row>
    <row r="21" spans="1:19" ht="204">
      <c r="A21" s="13" t="s">
        <v>53</v>
      </c>
      <c r="B21">
        <v>39.739199999999997</v>
      </c>
      <c r="C21">
        <v>-97.403000000000006</v>
      </c>
      <c r="D21" s="5" t="s">
        <v>12</v>
      </c>
      <c r="E21" s="5" t="s">
        <v>11</v>
      </c>
      <c r="F21" s="14">
        <v>8.7635450363159109</v>
      </c>
      <c r="G21" s="14">
        <v>-65.667724609375</v>
      </c>
      <c r="H21" t="s">
        <v>58</v>
      </c>
      <c r="I21" t="s">
        <v>59</v>
      </c>
      <c r="J21" s="14">
        <v>8.9100599288940394</v>
      </c>
      <c r="K21" s="14">
        <v>-65.633766174316406</v>
      </c>
      <c r="L21" t="s">
        <v>58</v>
      </c>
      <c r="M21" t="s">
        <v>59</v>
      </c>
      <c r="O21">
        <f t="shared" si="0"/>
        <v>30.975654963684086</v>
      </c>
      <c r="P21">
        <f t="shared" si="1"/>
        <v>31.735275390625006</v>
      </c>
      <c r="R21">
        <f t="shared" si="2"/>
        <v>30.829140071105957</v>
      </c>
      <c r="S21">
        <f t="shared" si="3"/>
        <v>31.7692338256836</v>
      </c>
    </row>
    <row r="22" spans="1:19" ht="204">
      <c r="A22" s="13" t="s">
        <v>54</v>
      </c>
      <c r="B22">
        <v>43.654800000000002</v>
      </c>
      <c r="C22">
        <v>-74.308800000000005</v>
      </c>
      <c r="D22" s="5" t="s">
        <v>12</v>
      </c>
      <c r="E22" s="5" t="s">
        <v>11</v>
      </c>
      <c r="F22" s="14">
        <v>39.385910034179602</v>
      </c>
      <c r="G22" s="14">
        <v>-81.245903015136705</v>
      </c>
      <c r="H22" t="s">
        <v>60</v>
      </c>
      <c r="I22" t="s">
        <v>12</v>
      </c>
      <c r="J22" s="14">
        <v>39.084232330322202</v>
      </c>
      <c r="K22" s="14">
        <v>-81.81005859375</v>
      </c>
      <c r="L22" t="s">
        <v>61</v>
      </c>
      <c r="M22" t="s">
        <v>12</v>
      </c>
      <c r="O22">
        <f t="shared" si="0"/>
        <v>4.2688899658203994</v>
      </c>
      <c r="P22">
        <f t="shared" si="1"/>
        <v>6.9371030151366995</v>
      </c>
      <c r="R22">
        <f t="shared" si="2"/>
        <v>4.5705676696777999</v>
      </c>
      <c r="S22">
        <f t="shared" si="3"/>
        <v>7.5012585937499949</v>
      </c>
    </row>
    <row r="23" spans="1:19">
      <c r="O23" s="17">
        <f>AVERAGE(O2:O22)</f>
        <v>15.340681859116321</v>
      </c>
      <c r="P23" s="17">
        <f t="shared" ref="P23:S23" si="4">AVERAGE(P2:P22)</f>
        <v>41.637432006399891</v>
      </c>
      <c r="Q23" s="17"/>
      <c r="R23" s="17">
        <f t="shared" si="4"/>
        <v>16.59530788276308</v>
      </c>
      <c r="S23" s="17">
        <f t="shared" si="4"/>
        <v>40.434647817357323</v>
      </c>
    </row>
    <row r="24" spans="1:19">
      <c r="E24" s="5"/>
      <c r="G24" s="5"/>
    </row>
    <row r="25" spans="1:19">
      <c r="E25" s="5"/>
      <c r="G25" s="5"/>
    </row>
    <row r="26" spans="1:19">
      <c r="E26" s="5"/>
      <c r="G26" s="5"/>
    </row>
    <row r="27" spans="1:19">
      <c r="E27" s="5"/>
      <c r="G27" s="5"/>
    </row>
    <row r="29" spans="1:19">
      <c r="E29" s="5"/>
      <c r="G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2026-04-06T21:48:38Z</dcterms:created>
  <dcterms:modified xsi:type="dcterms:W3CDTF">2026-04-17T01:04:10Z</dcterms:modified>
</cp:coreProperties>
</file>